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Visualization" sheetId="1" state="visible" r:id="rId1"/>
    <sheet name="Annual Data 2019-2024" sheetId="2" state="visible" r:id="rId2"/>
    <sheet name="LTM Data" sheetId="3" state="visible" r:id="rId3"/>
    <sheet name="Quarterly - Cummins" sheetId="4" state="visible" r:id="rId4"/>
    <sheet name="Quarterly - Caterpillar" sheetId="5" state="visible" r:id="rId5"/>
    <sheet name="Key Insights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Segment Revenue Comparison (2019-2024)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Cummins Power Systems</v>
          </tx>
          <spPr>
            <a:solidFill>
              <a:srgbClr val="F7B800"/>
            </a:solidFill>
            <a:ln>
              <a:solidFill>
                <a:srgbClr val="000000"/>
              </a:solidFill>
              <a:prstDash val="solid"/>
            </a:ln>
          </spPr>
          <cat>
            <numRef>
              <f>Annual Data 2019-2024!$A$4:$A$9</f>
              <numCache>
                <formatCode>General</formatCode>
                <ptCount val="6"/>
                <pt idx="0">
                  <v>2019</v>
                </pt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</numCache>
            </numRef>
          </cat>
          <val>
            <numRef>
              <f>Annual Data 2019-2024!$B$4:$B$9</f>
              <numCache>
                <formatCode>General</formatCode>
                <ptCount val="6"/>
                <pt idx="0">
                  <v>4200</v>
                </pt>
                <pt idx="1">
                  <v>4100</v>
                </pt>
                <pt idx="2">
                  <v>4500</v>
                </pt>
                <pt idx="3">
                  <v>5030</v>
                </pt>
                <pt idx="4">
                  <v>5670</v>
                </pt>
                <pt idx="5">
                  <v>6410</v>
                </pt>
              </numCache>
            </numRef>
          </val>
        </ser>
        <ser>
          <idx val="1"/>
          <order val="1"/>
          <tx>
            <v>Caterpillar E&amp;T</v>
          </tx>
          <spPr>
            <a:solidFill>
              <a:srgbClr val="FFCD11"/>
            </a:solidFill>
            <a:ln>
              <a:solidFill>
                <a:srgbClr val="000000"/>
              </a:solidFill>
              <a:prstDash val="solid"/>
            </a:ln>
          </spPr>
          <cat>
            <numRef>
              <f>Annual Data 2019-2024!$A$4:$A$9</f>
              <numCache>
                <formatCode>General</formatCode>
                <ptCount val="6"/>
                <pt idx="0">
                  <v>2019</v>
                </pt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</numCache>
            </numRef>
          </cat>
          <val>
            <numRef>
              <f>Annual Data 2019-2024!$E$4:$E$9</f>
              <numCache>
                <formatCode>General</formatCode>
                <ptCount val="6"/>
                <pt idx="0">
                  <v>20870</v>
                </pt>
                <pt idx="1">
                  <v>19231</v>
                </pt>
                <pt idx="2">
                  <v>22831</v>
                </pt>
                <pt idx="3">
                  <v>26330</v>
                </pt>
                <pt idx="4">
                  <v>28000</v>
                </pt>
                <pt idx="5">
                  <v>28850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Revenue ($M)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EBITDA Margin Trends (2019-2024)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Cummins EBITDA Margin</v>
          </tx>
          <spPr>
            <a:ln w="38100">
              <a:solidFill>
                <a:srgbClr val="C41E3A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Annual Data 2019-2024!$A$4:$A$9</f>
              <numCache>
                <formatCode>General</formatCode>
                <ptCount val="6"/>
                <pt idx="0">
                  <v>2019</v>
                </pt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</numCache>
            </numRef>
          </cat>
          <val>
            <numRef>
              <f>Annual Data 2019-2024!$D$4:$D$9</f>
              <numCache>
                <formatCode>General</formatCode>
                <ptCount val="6"/>
                <pt idx="0">
                  <v>0.052</v>
                </pt>
                <pt idx="1">
                  <v>0.07200000000000001</v>
                </pt>
                <pt idx="2">
                  <v>0.08699999999999999</v>
                </pt>
                <pt idx="3">
                  <v>0.127</v>
                </pt>
                <pt idx="4">
                  <v>0.178</v>
                </pt>
                <pt idx="5">
                  <v>0.197</v>
                </pt>
              </numCache>
            </numRef>
          </val>
        </ser>
        <ser>
          <idx val="1"/>
          <order val="1"/>
          <tx>
            <v>Caterpillar Op. Margin</v>
          </tx>
          <spPr>
            <a:ln w="38100">
              <a:solidFill>
                <a:srgbClr val="000000"/>
              </a:solidFill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Annual Data 2019-2024!$A$4:$A$9</f>
              <numCache>
                <formatCode>General</formatCode>
                <ptCount val="6"/>
                <pt idx="0">
                  <v>2019</v>
                </pt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</numCache>
            </numRef>
          </cat>
          <val>
            <numRef>
              <f>Annual Data 2019-2024!$G$4:$G$9</f>
              <numCache>
                <formatCode>General</formatCode>
                <ptCount val="6"/>
                <pt idx="0">
                  <v>0.1</v>
                </pt>
                <pt idx="1">
                  <v>0.109</v>
                </pt>
                <pt idx="2">
                  <v>0.115</v>
                </pt>
                <pt idx="3">
                  <v>0.159</v>
                </pt>
                <pt idx="4">
                  <v>0.19</v>
                </pt>
                <pt idx="5">
                  <v>0.199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rich>
          </tx>
          <layout/>
        </title>
        <numFmt formatCode="0%" sourceLinked="0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Cummins Quarterly Revenue (Q3 2024 - Q2 2025)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Cummins Revenue</v>
          </tx>
          <spPr>
            <a:solidFill>
              <a:srgbClr val="F7B800"/>
            </a:solidFill>
            <a:ln>
              <a:solidFill>
                <a:srgbClr val="000000"/>
              </a:solidFill>
              <a:prstDash val="solid"/>
            </a:ln>
          </spPr>
          <cat>
            <strRef>
              <f>Quarterly - Cummins!$A$4:$A$7</f>
              <strCache>
                <ptCount val="4"/>
                <pt idx="0">
                  <v>Q3 2024</v>
                </pt>
                <pt idx="1">
                  <v>Q4 2024</v>
                </pt>
                <pt idx="2">
                  <v>Q1 2025</v>
                </pt>
                <pt idx="3">
                  <v>Q2 2025</v>
                </pt>
              </strCache>
            </strRef>
          </cat>
          <val>
            <numRef>
              <f>Quarterly - Cummins!$B$4:$B$7</f>
              <numCache>
                <formatCode>General</formatCode>
                <ptCount val="4"/>
                <pt idx="0">
                  <v>1700</v>
                </pt>
                <pt idx="1">
                  <v>1700</v>
                </pt>
                <pt idx="2">
                  <v>1600</v>
                </pt>
                <pt idx="3">
                  <v>1900</v>
                </pt>
              </numCache>
            </numRef>
          </val>
        </ser>
        <gapWidth val="150"/>
        <axId val="50030001"/>
        <axId val="50030002"/>
      </barChart>
      <catAx>
        <axId val="5003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rich>
          </tx>
          <layout/>
        </title>
        <majorTickMark val="none"/>
        <minorTickMark val="none"/>
        <tickLblPos val="nextTo"/>
        <crossAx val="50030002"/>
        <crosses val="autoZero"/>
        <auto val="1"/>
        <lblAlgn val="ctr"/>
        <lblOffset val="100"/>
      </catAx>
      <valAx>
        <axId val="50030002"/>
        <scaling>
          <orientation val="minMax"/>
        </scaling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Revenue ($M)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3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6294060" cy="270205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2</row>
      <rowOff>0</rowOff>
    </from>
    <to>
      <col>1</col>
      <colOff>142875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0</colOff>
      <row>24</row>
      <rowOff>0</rowOff>
    </from>
    <to>
      <col>1</col>
      <colOff>142875</colOff>
      <row>44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46</row>
      <rowOff>0</rowOff>
    </from>
    <to>
      <col>1</col>
      <colOff>142875</colOff>
      <row>66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Revenue &amp; EBITDA Comparison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A1" sqref="A1"/>
    </sheetView>
  </sheetViews>
  <sheetFormatPr baseColWidth="8" defaultRowHeight="15"/>
  <cols>
    <col width="10.7109375" customWidth="1" min="1" max="1"/>
    <col width="18.7109375" customWidth="1" min="2" max="7"/>
  </cols>
  <sheetData>
    <row r="1">
      <c r="A1" s="1" t="inlineStr">
        <is>
          <t>Annual Financial Comparison: Cummins Power Systems vs Caterpillar Energy &amp; Transportation (2019-2024)</t>
        </is>
      </c>
    </row>
    <row r="3">
      <c r="A3" s="2" t="inlineStr">
        <is>
          <t>Year</t>
        </is>
      </c>
      <c r="B3" s="2" t="inlineStr">
        <is>
          <t>Cummins Revenue ($M)</t>
        </is>
      </c>
      <c r="C3" s="2" t="inlineStr">
        <is>
          <t>Cummins EBITDA ($M)</t>
        </is>
      </c>
      <c r="D3" s="2" t="inlineStr">
        <is>
          <t>Cummins Margin (%)</t>
        </is>
      </c>
      <c r="E3" s="2" t="inlineStr">
        <is>
          <t>CAT Revenue ($M)</t>
        </is>
      </c>
      <c r="F3" s="2" t="inlineStr">
        <is>
          <t>CAT Op. Profit ($M)</t>
        </is>
      </c>
      <c r="G3" s="2" t="inlineStr">
        <is>
          <t>CAT Margin (%)</t>
        </is>
      </c>
    </row>
    <row r="4">
      <c r="A4" t="n">
        <v>2019</v>
      </c>
      <c r="B4" s="8" t="n">
        <v>4200</v>
      </c>
      <c r="C4" s="8" t="n">
        <v>220</v>
      </c>
      <c r="D4" s="9" t="n">
        <v>0.052</v>
      </c>
      <c r="E4" s="8" t="n">
        <v>20870</v>
      </c>
      <c r="F4" s="8" t="n">
        <v>2088</v>
      </c>
      <c r="G4" s="9" t="n">
        <v>0.1</v>
      </c>
    </row>
    <row r="5">
      <c r="A5" t="n">
        <v>2020</v>
      </c>
      <c r="B5" s="8" t="n">
        <v>4100</v>
      </c>
      <c r="C5" s="8" t="n">
        <v>296</v>
      </c>
      <c r="D5" s="9" t="n">
        <v>0.07200000000000001</v>
      </c>
      <c r="E5" s="8" t="n">
        <v>19231</v>
      </c>
      <c r="F5" s="8" t="n">
        <v>2100</v>
      </c>
      <c r="G5" s="9" t="n">
        <v>0.109</v>
      </c>
    </row>
    <row r="6">
      <c r="A6" t="n">
        <v>2021</v>
      </c>
      <c r="B6" s="8" t="n">
        <v>4500</v>
      </c>
      <c r="C6" s="8" t="n">
        <v>390</v>
      </c>
      <c r="D6" s="9" t="n">
        <v>0.08699999999999999</v>
      </c>
      <c r="E6" s="8" t="n">
        <v>22831</v>
      </c>
      <c r="F6" s="8" t="n">
        <v>2623</v>
      </c>
      <c r="G6" s="9" t="n">
        <v>0.115</v>
      </c>
    </row>
    <row r="7">
      <c r="A7" t="n">
        <v>2022</v>
      </c>
      <c r="B7" s="8" t="n">
        <v>5030</v>
      </c>
      <c r="C7" s="8" t="n">
        <v>640</v>
      </c>
      <c r="D7" s="9" t="n">
        <v>0.127</v>
      </c>
      <c r="E7" s="8" t="n">
        <v>26330</v>
      </c>
      <c r="F7" s="8" t="n">
        <v>4184</v>
      </c>
      <c r="G7" s="9" t="n">
        <v>0.159</v>
      </c>
    </row>
    <row r="8">
      <c r="A8" t="n">
        <v>2023</v>
      </c>
      <c r="B8" s="8" t="n">
        <v>5670</v>
      </c>
      <c r="C8" s="8" t="n">
        <v>1007</v>
      </c>
      <c r="D8" s="9" t="n">
        <v>0.178</v>
      </c>
      <c r="E8" s="8" t="n">
        <v>28000</v>
      </c>
      <c r="F8" s="8" t="n">
        <v>5310</v>
      </c>
      <c r="G8" s="9" t="n">
        <v>0.19</v>
      </c>
    </row>
    <row r="9">
      <c r="A9" t="n">
        <v>2024</v>
      </c>
      <c r="B9" s="8" t="n">
        <v>6410</v>
      </c>
      <c r="C9" s="8" t="n">
        <v>1265</v>
      </c>
      <c r="D9" s="9" t="n">
        <v>0.197</v>
      </c>
      <c r="E9" s="8" t="n">
        <v>28850</v>
      </c>
      <c r="F9" s="8" t="n">
        <v>5750</v>
      </c>
      <c r="G9" s="9" t="n">
        <v>0.199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.7109375" customWidth="1" min="1" max="1"/>
    <col width="18.7109375" customWidth="1" min="2" max="4"/>
  </cols>
  <sheetData>
    <row r="1">
      <c r="A1" s="1" t="inlineStr">
        <is>
          <t>Last Twelve Months (LTM) Financial Data</t>
        </is>
      </c>
    </row>
    <row r="3">
      <c r="A3" s="2" t="inlineStr">
        <is>
          <t>Cummins Power Systems - LTM (Q3 2024 - Q2 2025)</t>
        </is>
      </c>
      <c r="B3" s="10" t="n"/>
      <c r="C3" s="10" t="n"/>
      <c r="D3" s="11" t="n"/>
    </row>
    <row r="4">
      <c r="A4" s="2" t="inlineStr">
        <is>
          <t>Period</t>
        </is>
      </c>
      <c r="B4" s="2" t="inlineStr">
        <is>
          <t>Revenue ($M)</t>
        </is>
      </c>
      <c r="C4" s="2" t="inlineStr">
        <is>
          <t>EBITDA ($M)</t>
        </is>
      </c>
      <c r="D4" s="2" t="inlineStr">
        <is>
          <t>EBITDA Margin (%)</t>
        </is>
      </c>
    </row>
    <row r="5">
      <c r="A5" t="inlineStr">
        <is>
          <t>LTM (Q3'24-Q2'25)</t>
        </is>
      </c>
      <c r="B5" s="8" t="n">
        <v>6900</v>
      </c>
      <c r="C5" s="8" t="n">
        <v>1461</v>
      </c>
      <c r="D5" s="9" t="n">
        <v>0.212</v>
      </c>
    </row>
    <row r="7">
      <c r="A7" s="2" t="inlineStr">
        <is>
          <t>Caterpillar Energy &amp; Transportation - LTM (Q4 2024 - Q3 2025)</t>
        </is>
      </c>
      <c r="B7" s="10" t="n"/>
      <c r="C7" s="10" t="n"/>
      <c r="D7" s="11" t="n"/>
    </row>
    <row r="8">
      <c r="A8" s="2" t="inlineStr">
        <is>
          <t>Period</t>
        </is>
      </c>
      <c r="B8" s="2" t="inlineStr">
        <is>
          <t>Revenue ($M)</t>
        </is>
      </c>
      <c r="C8" s="2" t="inlineStr">
        <is>
          <t>Operating Profit ($M)</t>
        </is>
      </c>
      <c r="D8" s="2" t="inlineStr">
        <is>
          <t>Op. Margin (%)</t>
        </is>
      </c>
    </row>
    <row r="9">
      <c r="A9" t="inlineStr">
        <is>
          <t>LTM (Q4'24-Q3'25)</t>
        </is>
      </c>
      <c r="B9" s="8" t="n">
        <v>30450</v>
      </c>
      <c r="C9" s="8" t="n">
        <v>6054</v>
      </c>
      <c r="D9" s="9" t="n">
        <v>0.199</v>
      </c>
    </row>
    <row r="11">
      <c r="A11" s="2" t="inlineStr">
        <is>
          <t>LTM Comparison</t>
        </is>
      </c>
      <c r="B11" s="10" t="n"/>
      <c r="C11" s="10" t="n"/>
      <c r="D11" s="11" t="n"/>
    </row>
    <row r="12">
      <c r="A12" s="2" t="inlineStr">
        <is>
          <t>Metric</t>
        </is>
      </c>
      <c r="B12" s="2" t="inlineStr">
        <is>
          <t>Cummins</t>
        </is>
      </c>
      <c r="C12" s="2" t="inlineStr">
        <is>
          <t>Caterpillar</t>
        </is>
      </c>
      <c r="D12" s="2" t="inlineStr">
        <is>
          <t>CAT/Cummins Ratio</t>
        </is>
      </c>
    </row>
    <row r="13">
      <c r="A13" t="inlineStr">
        <is>
          <t>Revenue ($B)</t>
        </is>
      </c>
      <c r="B13" s="12" t="n">
        <v>6.9</v>
      </c>
      <c r="C13" s="12" t="n">
        <v>30.5</v>
      </c>
      <c r="D13" s="12" t="n">
        <v>4.4</v>
      </c>
    </row>
    <row r="14">
      <c r="A14" t="inlineStr">
        <is>
          <t>Profit ($B)</t>
        </is>
      </c>
      <c r="B14" s="12" t="n">
        <v>1.46</v>
      </c>
      <c r="C14" s="12" t="n">
        <v>6.05</v>
      </c>
      <c r="D14" s="12" t="n">
        <v>4.1</v>
      </c>
    </row>
    <row r="15">
      <c r="A15" t="inlineStr">
        <is>
          <t>Margin (%)</t>
        </is>
      </c>
      <c r="B15" s="9" t="n">
        <v>0.212</v>
      </c>
      <c r="C15" s="9" t="n">
        <v>0.199</v>
      </c>
      <c r="D15" s="9" t="n"/>
    </row>
  </sheetData>
  <mergeCells count="4">
    <mergeCell ref="A1:D1"/>
    <mergeCell ref="A7:D7"/>
    <mergeCell ref="A3:D3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.7109375" customWidth="1" min="1" max="1"/>
    <col width="18.7109375" customWidth="1" min="2" max="4"/>
  </cols>
  <sheetData>
    <row r="1">
      <c r="A1" s="1" t="inlineStr">
        <is>
          <t>Cummins Power Systems - Quarterly Results</t>
        </is>
      </c>
    </row>
    <row r="3">
      <c r="A3" s="2" t="inlineStr">
        <is>
          <t>Quarter</t>
        </is>
      </c>
      <c r="B3" s="2" t="inlineStr">
        <is>
          <t>Revenue ($M)</t>
        </is>
      </c>
      <c r="C3" s="2" t="inlineStr">
        <is>
          <t>EBITDA ($M)</t>
        </is>
      </c>
      <c r="D3" s="2" t="inlineStr">
        <is>
          <t>EBITDA Margin (%)</t>
        </is>
      </c>
    </row>
    <row r="4">
      <c r="A4" t="inlineStr">
        <is>
          <t>Q3 2024</t>
        </is>
      </c>
      <c r="B4" s="8" t="n">
        <v>1700</v>
      </c>
      <c r="C4" s="8" t="n">
        <v>328</v>
      </c>
      <c r="D4" s="9" t="n">
        <v>0.194</v>
      </c>
    </row>
    <row r="5">
      <c r="A5" t="inlineStr">
        <is>
          <t>Q4 2024</t>
        </is>
      </c>
      <c r="B5" s="8" t="n">
        <v>1700</v>
      </c>
      <c r="C5" s="8" t="n">
        <v>314</v>
      </c>
      <c r="D5" s="9" t="n">
        <v>0.18</v>
      </c>
    </row>
    <row r="6">
      <c r="A6" t="inlineStr">
        <is>
          <t>Q1 2025</t>
        </is>
      </c>
      <c r="B6" s="8" t="n">
        <v>1600</v>
      </c>
      <c r="C6" s="8" t="n">
        <v>389</v>
      </c>
      <c r="D6" s="9" t="n">
        <v>0.236</v>
      </c>
    </row>
    <row r="7">
      <c r="A7" t="inlineStr">
        <is>
          <t>Q2 2025</t>
        </is>
      </c>
      <c r="B7" s="8" t="n">
        <v>1900</v>
      </c>
      <c r="C7" s="8" t="n">
        <v>430</v>
      </c>
      <c r="D7" s="9" t="n">
        <v>0.228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.7109375" customWidth="1" min="1" max="1"/>
    <col width="18.7109375" customWidth="1" min="2" max="4"/>
  </cols>
  <sheetData>
    <row r="1">
      <c r="A1" s="1" t="inlineStr">
        <is>
          <t>Caterpillar Energy &amp; Transportation - Quarterly Results</t>
        </is>
      </c>
    </row>
    <row r="3">
      <c r="A3" s="2" t="inlineStr">
        <is>
          <t>Quarter</t>
        </is>
      </c>
      <c r="B3" s="2" t="inlineStr">
        <is>
          <t>Revenue ($M)</t>
        </is>
      </c>
      <c r="C3" s="2" t="inlineStr">
        <is>
          <t>Operating Profit ($M)</t>
        </is>
      </c>
      <c r="D3" s="2" t="inlineStr">
        <is>
          <t>Op. Margin (%)</t>
        </is>
      </c>
    </row>
    <row r="4">
      <c r="A4" t="inlineStr">
        <is>
          <t>Q4 2024</t>
        </is>
      </c>
      <c r="B4" s="8" t="n">
        <v>7649</v>
      </c>
      <c r="C4" s="8" t="n">
        <v>1477</v>
      </c>
      <c r="D4" s="9" t="n">
        <v>0.193</v>
      </c>
    </row>
    <row r="5">
      <c r="A5" t="inlineStr">
        <is>
          <t>Q1 2025</t>
        </is>
      </c>
      <c r="B5" s="8" t="n">
        <v>6568</v>
      </c>
      <c r="C5" s="8" t="n">
        <v>1314</v>
      </c>
      <c r="D5" s="9" t="n">
        <v>0.2</v>
      </c>
    </row>
    <row r="6">
      <c r="A6" t="inlineStr">
        <is>
          <t>Q2 2025</t>
        </is>
      </c>
      <c r="B6" s="8" t="n">
        <v>7836</v>
      </c>
      <c r="C6" s="8" t="n">
        <v>1585</v>
      </c>
      <c r="D6" s="9" t="n">
        <v>0.202</v>
      </c>
    </row>
    <row r="7">
      <c r="A7" t="inlineStr">
        <is>
          <t>Q3 2025</t>
        </is>
      </c>
      <c r="B7" s="8" t="n">
        <v>8397</v>
      </c>
      <c r="C7" s="8" t="n">
        <v>1678</v>
      </c>
      <c r="D7" s="9" t="n">
        <v>0.2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50.7109375" customWidth="1" min="1" max="2"/>
  </cols>
  <sheetData>
    <row r="1">
      <c r="A1" s="1" t="inlineStr">
        <is>
          <t>Key Insights &amp; Analysis</t>
        </is>
      </c>
    </row>
    <row r="2">
      <c r="A2" s="6" t="n"/>
      <c r="B2" s="6" t="n"/>
    </row>
    <row r="3">
      <c r="A3" s="6" t="inlineStr">
        <is>
          <t>1. REVENUE SCALE (2024)</t>
        </is>
      </c>
      <c r="B3" s="6" t="n"/>
    </row>
    <row r="4">
      <c r="A4" t="inlineStr">
        <is>
          <t xml:space="preserve">   Caterpillar E&amp;T Revenue</t>
        </is>
      </c>
      <c r="B4" t="inlineStr">
        <is>
          <t>$28.9 Billion</t>
        </is>
      </c>
    </row>
    <row r="5">
      <c r="A5" t="inlineStr">
        <is>
          <t xml:space="preserve">   Cummins Power Systems Revenue</t>
        </is>
      </c>
      <c r="B5" t="inlineStr">
        <is>
          <t>$6.4 Billion</t>
        </is>
      </c>
    </row>
    <row r="6">
      <c r="A6" t="inlineStr">
        <is>
          <t xml:space="preserve">   Size Ratio</t>
        </is>
      </c>
      <c r="B6" t="inlineStr">
        <is>
          <t>4.5x</t>
        </is>
      </c>
    </row>
    <row r="7">
      <c r="A7" s="6" t="n"/>
      <c r="B7" s="6" t="n"/>
    </row>
    <row r="8">
      <c r="A8" s="6" t="inlineStr">
        <is>
          <t>2. LTM REVENUE (Most Recent)</t>
        </is>
      </c>
      <c r="B8" s="6" t="n"/>
    </row>
    <row r="9">
      <c r="A9" t="inlineStr">
        <is>
          <t xml:space="preserve">   Caterpillar E&amp;T LTM (Q4'24-Q3'25)</t>
        </is>
      </c>
      <c r="B9" t="inlineStr">
        <is>
          <t>$30.5 Billion</t>
        </is>
      </c>
    </row>
    <row r="10">
      <c r="A10" t="inlineStr">
        <is>
          <t xml:space="preserve">   Cummins Power Systems LTM (Q3'24-Q2'25)</t>
        </is>
      </c>
      <c r="B10" t="inlineStr">
        <is>
          <t>$6.9 Billion</t>
        </is>
      </c>
    </row>
    <row r="11">
      <c r="A11" t="inlineStr">
        <is>
          <t xml:space="preserve">   Size Ratio</t>
        </is>
      </c>
      <c r="B11" t="inlineStr">
        <is>
          <t>4.4x</t>
        </is>
      </c>
    </row>
    <row r="12">
      <c r="A12" s="6" t="n"/>
      <c r="B12" s="6" t="n"/>
    </row>
    <row r="13">
      <c r="A13" s="6" t="inlineStr">
        <is>
          <t>3. REVENUE GROWTH (2019-2024 CAGR)</t>
        </is>
      </c>
      <c r="B13" s="6" t="n"/>
    </row>
    <row r="14">
      <c r="A14" t="inlineStr">
        <is>
          <t xml:space="preserve">   Cummins Power Systems</t>
        </is>
      </c>
      <c r="B14" t="inlineStr">
        <is>
          <t>8.8%</t>
        </is>
      </c>
    </row>
    <row r="15">
      <c r="A15" t="inlineStr">
        <is>
          <t xml:space="preserve">   Caterpillar E&amp;T</t>
        </is>
      </c>
      <c r="B15" t="inlineStr">
        <is>
          <t>6.7%</t>
        </is>
      </c>
    </row>
    <row r="16">
      <c r="A16" s="6" t="n"/>
      <c r="B16" s="6" t="n"/>
    </row>
    <row r="17">
      <c r="A17" s="6" t="inlineStr">
        <is>
          <t>4. PROFITABILITY (2024)</t>
        </is>
      </c>
      <c r="B17" s="6" t="n"/>
    </row>
    <row r="18">
      <c r="A18" t="inlineStr">
        <is>
          <t xml:space="preserve">   Cummins EBITDA Margin</t>
        </is>
      </c>
      <c r="B18" t="inlineStr">
        <is>
          <t>19.7%</t>
        </is>
      </c>
    </row>
    <row r="19">
      <c r="A19" t="inlineStr">
        <is>
          <t xml:space="preserve">   Caterpillar Operating Margin</t>
        </is>
      </c>
      <c r="B19" t="inlineStr">
        <is>
          <t>19.9%</t>
        </is>
      </c>
    </row>
    <row r="20">
      <c r="A20" t="inlineStr">
        <is>
          <t xml:space="preserve">   Difference</t>
        </is>
      </c>
      <c r="B20" t="inlineStr">
        <is>
          <t>0.2 pts</t>
        </is>
      </c>
    </row>
    <row r="21">
      <c r="A21" s="6" t="n"/>
      <c r="B21" s="6" t="n"/>
    </row>
    <row r="22">
      <c r="A22" s="6" t="inlineStr">
        <is>
          <t>5. MARGIN EXPANSION (2019-2024)</t>
        </is>
      </c>
      <c r="B22" s="6" t="n"/>
    </row>
    <row r="23">
      <c r="A23" t="inlineStr">
        <is>
          <t xml:space="preserve">   Cummins Improvement</t>
        </is>
      </c>
      <c r="B23" t="inlineStr">
        <is>
          <t>+14.5 percentage points (5.2% → 19.7%)</t>
        </is>
      </c>
    </row>
    <row r="24">
      <c r="A24" t="inlineStr">
        <is>
          <t xml:space="preserve">   Caterpillar Improvement</t>
        </is>
      </c>
      <c r="B24" t="inlineStr">
        <is>
          <t>+9.9 percentage points (10.0% → 19.9%)</t>
        </is>
      </c>
    </row>
    <row r="25">
      <c r="A25" s="6" t="n"/>
      <c r="B25" s="6" t="n"/>
    </row>
    <row r="26">
      <c r="A26" s="6" t="inlineStr">
        <is>
          <t>6. LTM PROFITABILITY (Most Recent)</t>
        </is>
      </c>
      <c r="B26" s="6" t="n"/>
    </row>
    <row r="27">
      <c r="A27" t="inlineStr">
        <is>
          <t xml:space="preserve">   Cummins LTM Margin</t>
        </is>
      </c>
      <c r="B27" t="inlineStr">
        <is>
          <t>21.2%</t>
        </is>
      </c>
    </row>
    <row r="28">
      <c r="A28" t="inlineStr">
        <is>
          <t xml:space="preserve">   Caterpillar LTM Margin</t>
        </is>
      </c>
      <c r="B28" t="inlineStr">
        <is>
          <t>19.9%</t>
        </is>
      </c>
    </row>
    <row r="29">
      <c r="A29" t="inlineStr">
        <is>
          <t xml:space="preserve">   Cummins now leads in margin</t>
        </is>
      </c>
      <c r="B29" t="inlineStr">
        <is>
          <t>+1.3 pts</t>
        </is>
      </c>
    </row>
    <row r="30">
      <c r="A30" s="6" t="n"/>
      <c r="B30" s="6" t="n"/>
    </row>
    <row r="31">
      <c r="A31" s="6" t="inlineStr">
        <is>
          <t>7. PROFIT DOLLARS (LTM)</t>
        </is>
      </c>
      <c r="B31" s="6" t="n"/>
    </row>
    <row r="32">
      <c r="A32" t="inlineStr">
        <is>
          <t xml:space="preserve">   Caterpillar Operating Profit</t>
        </is>
      </c>
      <c r="B32" t="inlineStr">
        <is>
          <t>$6.05 Billion</t>
        </is>
      </c>
    </row>
    <row r="33">
      <c r="A33" t="inlineStr">
        <is>
          <t xml:space="preserve">   Cummins EBITDA</t>
        </is>
      </c>
      <c r="B33" t="inlineStr">
        <is>
          <t>$1.46 Billion</t>
        </is>
      </c>
    </row>
    <row r="34">
      <c r="A34" t="inlineStr">
        <is>
          <t xml:space="preserve">   Ratio</t>
        </is>
      </c>
      <c r="B34" t="inlineStr">
        <is>
          <t>4.1x</t>
        </is>
      </c>
    </row>
    <row r="35">
      <c r="A35" s="6" t="n"/>
      <c r="B35" s="6" t="n"/>
    </row>
    <row r="36">
      <c r="A36" s="6" t="inlineStr">
        <is>
          <t>8. KEY DRIVERS</t>
        </is>
      </c>
      <c r="B36" s="6" t="n"/>
    </row>
    <row r="37">
      <c r="A37" t="inlineStr">
        <is>
          <t xml:space="preserve">   - Data center power demand (AI/cloud)</t>
        </is>
      </c>
    </row>
    <row r="38">
      <c r="A38" t="inlineStr">
        <is>
          <t xml:space="preserve">   - Strong pricing power</t>
        </is>
      </c>
    </row>
    <row r="39">
      <c r="A39" t="inlineStr">
        <is>
          <t xml:space="preserve">   - Operational improvements</t>
        </is>
      </c>
    </row>
    <row r="40">
      <c r="A40" t="inlineStr">
        <is>
          <t xml:space="preserve">   - Energy transition infrastructure</t>
        </is>
      </c>
    </row>
    <row r="41">
      <c r="A41" s="6" t="n"/>
      <c r="B41" s="6" t="n"/>
    </row>
    <row r="42">
      <c r="A42" s="6" t="inlineStr">
        <is>
          <t>9. COMPETITIVE POSITION</t>
        </is>
      </c>
      <c r="B42" s="6" t="n"/>
    </row>
    <row r="43">
      <c r="A43" t="inlineStr">
        <is>
          <t xml:space="preserve">   Caterpillar</t>
        </is>
      </c>
      <c r="B43" t="inlineStr">
        <is>
          <t>Larger, more diversified, stable leader</t>
        </is>
      </c>
    </row>
    <row r="44">
      <c r="A44" t="inlineStr">
        <is>
          <t xml:space="preserve">   Cummins</t>
        </is>
      </c>
      <c r="B44" t="inlineStr">
        <is>
          <t>Faster growth, superior margin expansion</t>
        </is>
      </c>
    </row>
    <row r="45">
      <c r="A45" s="6" t="inlineStr">
        <is>
          <t>Data Sources:</t>
        </is>
      </c>
    </row>
    <row r="46">
      <c r="A46" t="inlineStr">
        <is>
          <t>- Cummins Inc. Investor Relations (earnings releases 2019-2025)</t>
        </is>
      </c>
    </row>
    <row r="47">
      <c r="A47" t="inlineStr">
        <is>
          <t>- Caterpillar Inc. Investor Relations (earnings releases 2019-2025)</t>
        </is>
      </c>
    </row>
    <row r="48">
      <c r="A48" t="inlineStr">
        <is>
          <t>- Report Generated: October 30, 2025</t>
        </is>
      </c>
    </row>
    <row r="49">
      <c r="A49" t="inlineStr">
        <is>
          <t>- Note: Caterpillar reports Operating Profit; Cummins reports EBITDA</t>
        </is>
      </c>
    </row>
    <row r="50">
      <c r="A50" t="inlineStr">
        <is>
          <t>- LTM periods differ due to reporting schedules</t>
        </is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.7109375" customWidth="1" min="1" max="1"/>
  </cols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2025-10-30T17:10:37Z</dcterms:created>
  <dcterms:modified xsi:type="dcterms:W3CDTF">2025-10-30T17:10:37Z</dcterms:modified>
</cp:coreProperties>
</file>